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uval Margolin\OneDrive\Desktop\LAB 2\"/>
    </mc:Choice>
  </mc:AlternateContent>
  <xr:revisionPtr revIDLastSave="0" documentId="13_ncr:1_{1124EBA8-DFD1-4E06-B23F-E5D6598AC5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ng Scores by Promp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3" i="1"/>
  <c r="L4" i="1"/>
  <c r="L5" i="1"/>
  <c r="L35" i="1"/>
  <c r="L34" i="1"/>
  <c r="L33" i="1"/>
  <c r="L32" i="1"/>
  <c r="L31" i="1"/>
  <c r="L3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10" i="1"/>
  <c r="L9" i="1"/>
  <c r="L8" i="1"/>
  <c r="L7" i="1"/>
  <c r="L6" i="1"/>
</calcChain>
</file>

<file path=xl/sharedStrings.xml><?xml version="1.0" encoding="utf-8"?>
<sst xmlns="http://schemas.openxmlformats.org/spreadsheetml/2006/main" count="216" uniqueCount="200">
  <si>
    <t>Song 1</t>
  </si>
  <si>
    <t>Score 1</t>
  </si>
  <si>
    <t>Song 2</t>
  </si>
  <si>
    <t>Score 2</t>
  </si>
  <si>
    <t>Song 3</t>
  </si>
  <si>
    <t>Score 3</t>
  </si>
  <si>
    <t>Song 4</t>
  </si>
  <si>
    <t>Score 4</t>
  </si>
  <si>
    <t>Song 5</t>
  </si>
  <si>
    <t>Score 5</t>
  </si>
  <si>
    <t>Up Up Up</t>
  </si>
  <si>
    <t>Can I Have a Kiss</t>
  </si>
  <si>
    <t>Rated U For Ugly</t>
  </si>
  <si>
    <t>Blue Bird</t>
  </si>
  <si>
    <t>Mindset</t>
  </si>
  <si>
    <t>Your Goodbye</t>
  </si>
  <si>
    <t>The Hellbound Heart</t>
  </si>
  <si>
    <t>WHIPLASH</t>
  </si>
  <si>
    <t>BREAK YOU OFF</t>
  </si>
  <si>
    <t>Jackets</t>
  </si>
  <si>
    <t>The Sun Was in My Eyes: Part One</t>
  </si>
  <si>
    <t>Scissor Hands</t>
  </si>
  <si>
    <t>When She Don’t Need Me</t>
  </si>
  <si>
    <t>Love</t>
  </si>
  <si>
    <t>The Ballad of Lucy Jordon</t>
  </si>
  <si>
    <t>Romeos Tune</t>
  </si>
  <si>
    <t>Every Tube Station Song</t>
  </si>
  <si>
    <t>Comfortably Numb Live at Nassau Coliseum 1988</t>
  </si>
  <si>
    <t>Another Brick In The Wall Pt. 2 The Wall Work In Progress Pt. 2</t>
  </si>
  <si>
    <t>That's Life</t>
  </si>
  <si>
    <t>This River</t>
  </si>
  <si>
    <t>Love With My Eyes Closed</t>
  </si>
  <si>
    <t>Miss You Like Crazy</t>
  </si>
  <si>
    <t>C.F. Bundy</t>
  </si>
  <si>
    <t>Your Easy Lovin Aint Pleasin Nothin</t>
  </si>
  <si>
    <t>They Say</t>
  </si>
  <si>
    <t>Wont U Please B Nice</t>
  </si>
  <si>
    <t>I Aint Superstitious</t>
  </si>
  <si>
    <t>Champions Of Nothing</t>
  </si>
  <si>
    <t>La La La</t>
  </si>
  <si>
    <t>Night Witches</t>
  </si>
  <si>
    <t>Execution Day</t>
  </si>
  <si>
    <t>Alphabetizing</t>
  </si>
  <si>
    <t>Archival Footage</t>
  </si>
  <si>
    <t>Unstoppable</t>
  </si>
  <si>
    <t>The Answer</t>
  </si>
  <si>
    <t>Georgia On My Mind</t>
  </si>
  <si>
    <t>I Heart ?</t>
  </si>
  <si>
    <t>Do It</t>
  </si>
  <si>
    <t>10 000 Miles</t>
  </si>
  <si>
    <t>Hate</t>
  </si>
  <si>
    <t>Poison</t>
  </si>
  <si>
    <t>Love Song</t>
  </si>
  <si>
    <t>Dont Phase Me</t>
  </si>
  <si>
    <t>Angels Protect This Home</t>
  </si>
  <si>
    <t>A Blast Beat</t>
  </si>
  <si>
    <t>Black Light</t>
  </si>
  <si>
    <t>Soul Cry Live</t>
  </si>
  <si>
    <t>Our Father Is Missing</t>
  </si>
  <si>
    <t>Lonely  Cold</t>
  </si>
  <si>
    <t>Goodbye (Wiz Khalifa)</t>
  </si>
  <si>
    <t>Goodbye (Downplay)</t>
  </si>
  <si>
    <t>ONCE AGAIN ITS ON</t>
  </si>
  <si>
    <t>See Me Again</t>
  </si>
  <si>
    <t>New N3on Demo</t>
  </si>
  <si>
    <t>The Beginning of the End</t>
  </si>
  <si>
    <t>New N3on Original</t>
  </si>
  <si>
    <t>Weekapaug Groove</t>
  </si>
  <si>
    <t>Horny Pony</t>
  </si>
  <si>
    <t>Horn Lines</t>
  </si>
  <si>
    <t>Global Groove</t>
  </si>
  <si>
    <t>Groovejet If This Aint Love 2020</t>
  </si>
  <si>
    <t>Let Me Be Your Dirty Fucking Whore</t>
  </si>
  <si>
    <t>Elvis Fucking Christ</t>
  </si>
  <si>
    <t>Boys Wanna Fight</t>
  </si>
  <si>
    <t>Twenty Four Hour Garage People</t>
  </si>
  <si>
    <t>Im Gonna Make You Love Me</t>
  </si>
  <si>
    <t>Whos Lovin You</t>
  </si>
  <si>
    <t>My Mistake Was to Love You</t>
  </si>
  <si>
    <t>I Want You Back</t>
  </si>
  <si>
    <t>Can You Remember</t>
  </si>
  <si>
    <t>The Struggle Hidden Track</t>
  </si>
  <si>
    <t>Ghosts</t>
  </si>
  <si>
    <t>One Last Cigarette</t>
  </si>
  <si>
    <t>Level</t>
  </si>
  <si>
    <t>You Will You Wont</t>
  </si>
  <si>
    <t>Make It Up With Love</t>
  </si>
  <si>
    <t>I Dont Give a Damn</t>
  </si>
  <si>
    <t>Our Whole Lives</t>
  </si>
  <si>
    <t>Mamas Room</t>
  </si>
  <si>
    <t>The Caper Funk Volumes Dont Funk Up Our Beats</t>
  </si>
  <si>
    <t>Cover and Duck</t>
  </si>
  <si>
    <t>Will You Be Mine</t>
  </si>
  <si>
    <t>More Than My Hometown</t>
  </si>
  <si>
    <t>Starting Over</t>
  </si>
  <si>
    <t>The Bones</t>
  </si>
  <si>
    <t>Forever After All</t>
  </si>
  <si>
    <t>Circles</t>
  </si>
  <si>
    <t>profile=Unknown | query=Country songs</t>
  </si>
  <si>
    <t>Watermelon Sugar</t>
  </si>
  <si>
    <t>The Box</t>
  </si>
  <si>
    <t>What You Know Bout Love</t>
  </si>
  <si>
    <t>Adore You</t>
  </si>
  <si>
    <t>profile=Unknown | query=I want a playlist mixing hip hop and rock</t>
  </si>
  <si>
    <t>Languishing (The Interlude)</t>
  </si>
  <si>
    <t>Coward of the Country</t>
  </si>
  <si>
    <t>Rainy Night House</t>
  </si>
  <si>
    <t>The Gallery</t>
  </si>
  <si>
    <t>I’ll Be Your Baby Tonight</t>
  </si>
  <si>
    <t>profile=Unknown | query=I want relaxing songs for studying</t>
  </si>
  <si>
    <t>Close My Eyes – Mariah Carey</t>
  </si>
  <si>
    <t>The Vanishing – Relaxing Soothing Lullaby Ambient Sleep Music</t>
  </si>
  <si>
    <t>We Got to Have Peace – Curtis Mayfield</t>
  </si>
  <si>
    <t>Calm Down – Relaxing music, Meditation Music, Yoga</t>
  </si>
  <si>
    <t>Vibrations – Yoga Meditation and Relaxation Music, Relaxing</t>
  </si>
  <si>
    <t>profile=Unknown | query=Yoga songs and relaxing meditation tracks</t>
  </si>
  <si>
    <t>I Know You Want Me (Calle Ocho) – Pitbull</t>
  </si>
  <si>
    <t>On the Floor – Jennifer Lopez (feat. Pitbull)</t>
  </si>
  <si>
    <t>Livin’ la Vida Loca</t>
  </si>
  <si>
    <t>Bailamos</t>
  </si>
  <si>
    <t>Hips Don’t Lie</t>
  </si>
  <si>
    <t>profile=Enjoys Latin music and reggaeton | query=Give me English crossover hits that mix Latin rhythms</t>
  </si>
  <si>
    <t>Heartbeat – Seduction</t>
  </si>
  <si>
    <t>Price Of Love</t>
  </si>
  <si>
    <t>How Can We Be Lovers</t>
  </si>
  <si>
    <t>Love Will Lead You Back</t>
  </si>
  <si>
    <t>Greatest Love Of All</t>
  </si>
  <si>
    <t>profile=Unknown | query=Love songs from the 1980s</t>
  </si>
  <si>
    <t>profile=Unknown | query=Angry Mood Songs</t>
  </si>
  <si>
    <t>Dance – ABBA</t>
  </si>
  <si>
    <t>Icehouse – ICEHOUSE</t>
  </si>
  <si>
    <t>Dance – Gary Numan</t>
  </si>
  <si>
    <t>Don't Dance</t>
  </si>
  <si>
    <t>Superheroes / Human After All / Rock’n Roll – Daft Punk</t>
  </si>
  <si>
    <t>profile=Unknown | query=Give me music suitable for running in the morning</t>
  </si>
  <si>
    <t>Sexy and I Know It</t>
  </si>
  <si>
    <t>We Own the Night</t>
  </si>
  <si>
    <t>Party at a Rich Dudes House</t>
  </si>
  <si>
    <t>Calvin Harris – Summer</t>
  </si>
  <si>
    <t>Calvin Harris – Summer Extended Mix</t>
  </si>
  <si>
    <t>profile=Unknown | query=Party songs for Ibiza including “Summer” by Calvin Harris</t>
  </si>
  <si>
    <t>Bloc Bloc Bloc – Orchestral Manoeuvres In The Dark</t>
  </si>
  <si>
    <t>Don't Give Up – Modern Talking</t>
  </si>
  <si>
    <t>One In A Million – Modern Talking</t>
  </si>
  <si>
    <t>Roadhouse Blues – Frankie Goes To Hollywood</t>
  </si>
  <si>
    <t>88 Seconds In Greensboro – Orchestral Manoeuvres In The Dark</t>
  </si>
  <si>
    <t>profile=Unknown | query=Recommend me 1980s dance tracks</t>
  </si>
  <si>
    <t>I Love My Countr</t>
  </si>
  <si>
    <t>Diamonds</t>
  </si>
  <si>
    <t>Someone You Loved</t>
  </si>
  <si>
    <t>Here And Now</t>
  </si>
  <si>
    <t>Every Teardrop Is A Waterfall</t>
  </si>
  <si>
    <t>Cemeteries Of London</t>
  </si>
  <si>
    <t>Miss You Finally</t>
  </si>
  <si>
    <t>Henrys Dance</t>
  </si>
  <si>
    <t>Incalculable Effects</t>
  </si>
  <si>
    <t>Work</t>
  </si>
  <si>
    <t>Ryde or Die</t>
  </si>
  <si>
    <t>Warm Whispers</t>
  </si>
  <si>
    <t>Slow Dance Hey Mr. DJ / After the Partys Over Singin mix</t>
  </si>
  <si>
    <t>The Closer You Are</t>
  </si>
  <si>
    <t>All in You</t>
  </si>
  <si>
    <t>Nothing but Heartache in Your Social Life</t>
  </si>
  <si>
    <t>Slide Away</t>
  </si>
  <si>
    <t>Throw You Over</t>
  </si>
  <si>
    <t>You Do</t>
  </si>
  <si>
    <t>Momentum</t>
  </si>
  <si>
    <t>Build That Wall</t>
  </si>
  <si>
    <t>Dance Until the Morning Light</t>
  </si>
  <si>
    <t>The Canadian Dream</t>
  </si>
  <si>
    <t>Flight 717: Going to Denmark</t>
  </si>
  <si>
    <t>Light Me Up</t>
  </si>
  <si>
    <t>Tea Lights</t>
  </si>
  <si>
    <t>profile=Unknown | query=Find me English songs released between 2015 and 2020</t>
  </si>
  <si>
    <t>profile=Unknown | query=Give me both calm songs and very energetic ones</t>
  </si>
  <si>
    <t>profile=Unknown | query=I want classic rock from the 1970s</t>
  </si>
  <si>
    <t>profile=Unknown | query=Suggest early 2000s pop songs</t>
  </si>
  <si>
    <t>profile=Enjoys upbeat pop hits for workouts | query=This time give me slower tracks to cool down after exercise</t>
  </si>
  <si>
    <t>profile=Usually listens to hip hop and R&amp;B | query=Find me some indie songs I might enjoy as a change</t>
  </si>
  <si>
    <t>profile=Prefers calm acoustic guitar music | query=Now I want energetic party tracks for the evening</t>
  </si>
  <si>
    <t>profile=Unknown | query=Give me 5 songs by Taylor Swift</t>
  </si>
  <si>
    <t>profile=Unknown | query=songs by female artists</t>
  </si>
  <si>
    <t>profile=Unknown | query=Love songs. 2 from the 80s and 3 from the last 10 years</t>
  </si>
  <si>
    <t>profile=Unknown | query=Heartbreak songs from the 2000s</t>
  </si>
  <si>
    <t>profile=songs from 2010-2020 | query=new beginning</t>
  </si>
  <si>
    <t>profile=A fan of jazz and instrumental tracks | query=Find me pop or rock songs that heavily feature saxophone</t>
  </si>
  <si>
    <t>profile=Loves nostalgic 2000s pop-punk | query=Recommend me recent songs that capture the same rebellious energy</t>
  </si>
  <si>
    <t>profile=Unknown | query=Show me 5 hits from the 1960s</t>
  </si>
  <si>
    <t>profile=Unknown | query=I like Imagine Dragons, what else should I listen to?</t>
  </si>
  <si>
    <t>profile=Loves classic rock from the 70s and 80s | query=Recommend me 5 modern songs that still have that classic rock vibe</t>
  </si>
  <si>
    <t>profile=Unknown | query=Songs similar to David Guetta but not by him</t>
  </si>
  <si>
    <t>profile=Unknown | query=Songs 1–2 by Coldplay; others from similar-style artists</t>
  </si>
  <si>
    <t>profile=Loves nostalgic 2000s pop | query=Songs for party in the style I like</t>
  </si>
  <si>
    <t>profile=Unknown | query=Find me songs in both Spanish and English</t>
  </si>
  <si>
    <t>profile=Unknown | query=Find me grunge or alternative rock from the 1990s</t>
  </si>
  <si>
    <t>profile=Unknown | query=I want pop songs from the last decade</t>
  </si>
  <si>
    <t>profile=Unknown | query=Songs that talk about hope</t>
  </si>
  <si>
    <t>prompt</t>
  </si>
  <si>
    <t>NDCG@5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</si>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</sst>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2"/>
  </cellXfs>
  <cellStyles count="3">
    <cellStyle name="Hyperlink" xfId="2" builtinId="8"/>
    <cellStyle name="Normal" xfId="0" builtinId="0"/>
    <cellStyle name="Normal 2" xfId="1" xr:uid="{399C5B80-05EC-489B-9E3E-BFADBD2D8F8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val%20Margolin\OneDrive\Desktop\LAB%202\graded_playlists_3.xlsx" TargetMode="External"/><Relationship Id="rId1" Type="http://schemas.openxmlformats.org/officeDocument/2006/relationships/externalLinkPath" Target="graded_playlists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DCG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B1" zoomScaleNormal="100" workbookViewId="0">
      <selection activeCell="C1" sqref="C1"/>
    </sheetView>
  </sheetViews>
  <sheetFormatPr defaultRowHeight="14.5" x14ac:dyDescent="0.35"/>
  <cols>
    <col min="1" max="1" width="62.08984375" customWidth="1"/>
    <col min="2" max="2" width="54.1796875" customWidth="1"/>
    <col min="3" max="3" width="18.26953125" customWidth="1"/>
    <col min="4" max="4" width="16.7265625" customWidth="1"/>
    <col min="6" max="6" width="12.90625" customWidth="1"/>
    <col min="11" max="11" width="0.26953125" customWidth="1"/>
    <col min="12" max="12" width="9.08984375" customWidth="1"/>
    <col min="13" max="13" width="25.90625" customWidth="1"/>
  </cols>
  <sheetData>
    <row r="1" spans="1:13" x14ac:dyDescent="0.35">
      <c r="A1" t="s">
        <v>197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5" t="s">
        <v>198</v>
      </c>
      <c r="M1" t="s">
        <v>199</v>
      </c>
    </row>
    <row r="2" spans="1:13" ht="31" x14ac:dyDescent="0.35">
      <c r="A2" s="4" t="s">
        <v>173</v>
      </c>
      <c r="B2" t="s">
        <v>14</v>
      </c>
      <c r="C2">
        <v>1</v>
      </c>
      <c r="D2" t="s">
        <v>15</v>
      </c>
      <c r="E2">
        <v>2</v>
      </c>
      <c r="F2" t="s">
        <v>16</v>
      </c>
      <c r="G2">
        <v>1</v>
      </c>
      <c r="H2" t="s">
        <v>17</v>
      </c>
      <c r="I2">
        <v>1</v>
      </c>
      <c r="J2" t="s">
        <v>18</v>
      </c>
      <c r="K2">
        <v>1</v>
      </c>
      <c r="L2">
        <f>[1]Sheet1!$K$3</f>
        <v>0</v>
      </c>
      <c r="M2">
        <f>AVERAGE(L2:L35)</f>
        <v>0.68704512409202922</v>
      </c>
    </row>
    <row r="3" spans="1:13" ht="31" x14ac:dyDescent="0.35">
      <c r="A3" s="4" t="s">
        <v>174</v>
      </c>
      <c r="B3" t="s">
        <v>19</v>
      </c>
      <c r="C3">
        <v>2</v>
      </c>
      <c r="D3" t="s">
        <v>20</v>
      </c>
      <c r="E3">
        <v>2</v>
      </c>
      <c r="F3" t="s">
        <v>21</v>
      </c>
      <c r="G3">
        <v>2</v>
      </c>
      <c r="H3" t="s">
        <v>22</v>
      </c>
      <c r="I3">
        <v>2</v>
      </c>
      <c r="J3" t="s">
        <v>23</v>
      </c>
      <c r="K3">
        <v>2</v>
      </c>
      <c r="L3">
        <f t="shared" ref="L2:L5" si="0" xml:space="preserve"> (C3 + E3 / LOG(2, 2) + G3 / LOG(3, 2) + I3 / LOG(4, 2) + K3 / LOG(5, 2)) / (2 + 2 / LOG(2, 2) + 2 / LOG(3, 2) + 2 / LOG(4, 2) + 2 / LOG(5, 2))</f>
        <v>1</v>
      </c>
    </row>
    <row r="4" spans="1:13" ht="15.5" x14ac:dyDescent="0.35">
      <c r="A4" s="4" t="s">
        <v>175</v>
      </c>
      <c r="B4" t="s">
        <v>24</v>
      </c>
      <c r="C4">
        <v>1</v>
      </c>
      <c r="D4" t="s">
        <v>25</v>
      </c>
      <c r="E4">
        <v>1</v>
      </c>
      <c r="F4" t="s">
        <v>26</v>
      </c>
      <c r="G4">
        <v>1</v>
      </c>
      <c r="H4" t="s">
        <v>27</v>
      </c>
      <c r="I4">
        <v>2</v>
      </c>
      <c r="J4" t="s">
        <v>28</v>
      </c>
      <c r="K4">
        <v>2</v>
      </c>
      <c r="L4">
        <f t="shared" si="0"/>
        <v>0.63065404716833806</v>
      </c>
    </row>
    <row r="5" spans="1:13" ht="15.5" x14ac:dyDescent="0.35">
      <c r="A5" s="4" t="s">
        <v>176</v>
      </c>
      <c r="B5" t="s">
        <v>29</v>
      </c>
      <c r="C5">
        <v>1</v>
      </c>
      <c r="D5" t="s">
        <v>30</v>
      </c>
      <c r="E5">
        <v>1</v>
      </c>
      <c r="F5" t="s">
        <v>31</v>
      </c>
      <c r="G5">
        <v>1</v>
      </c>
      <c r="H5" t="s">
        <v>32</v>
      </c>
      <c r="I5">
        <v>2</v>
      </c>
      <c r="J5" t="s">
        <v>33</v>
      </c>
      <c r="K5">
        <v>1</v>
      </c>
      <c r="L5">
        <f t="shared" si="0"/>
        <v>0.57019304721653619</v>
      </c>
    </row>
    <row r="6" spans="1:13" ht="31" x14ac:dyDescent="0.35">
      <c r="A6" s="4" t="s">
        <v>177</v>
      </c>
      <c r="B6" t="s">
        <v>34</v>
      </c>
      <c r="C6">
        <v>2</v>
      </c>
      <c r="D6" t="s">
        <v>35</v>
      </c>
      <c r="E6">
        <v>2</v>
      </c>
      <c r="F6" t="s">
        <v>36</v>
      </c>
      <c r="G6">
        <v>2</v>
      </c>
      <c r="H6" t="s">
        <v>37</v>
      </c>
      <c r="I6">
        <v>1</v>
      </c>
      <c r="J6" t="s">
        <v>38</v>
      </c>
      <c r="K6">
        <v>1</v>
      </c>
      <c r="L6">
        <f xml:space="preserve"> (C6 + E6 / LOG(2, 2) + G6 / LOG(3, 2) + I6 / LOG(4, 2) + K6 / LOG(5, 2)) / (2 + 2 / LOG(2, 2) + 2 / LOG(3, 2) + 2 / LOG(4, 2) + 2 / LOG(5, 2))</f>
        <v>0.86934595283166205</v>
      </c>
    </row>
    <row r="7" spans="1:13" ht="31" x14ac:dyDescent="0.35">
      <c r="A7" s="4" t="s">
        <v>178</v>
      </c>
      <c r="B7" t="s">
        <v>39</v>
      </c>
      <c r="C7">
        <v>2</v>
      </c>
      <c r="D7" t="s">
        <v>40</v>
      </c>
      <c r="E7">
        <v>0</v>
      </c>
      <c r="F7" t="s">
        <v>41</v>
      </c>
      <c r="G7">
        <v>1</v>
      </c>
      <c r="H7" t="s">
        <v>42</v>
      </c>
      <c r="I7">
        <v>1</v>
      </c>
      <c r="J7" t="s">
        <v>43</v>
      </c>
      <c r="K7">
        <v>1</v>
      </c>
      <c r="L7">
        <f t="shared" ref="L7:L8" si="1" xml:space="preserve"> (C7 + E7 / LOG(2, 2) + G7 / LOG(3, 2) + I7 / LOG(4, 2) + K7 / LOG(5, 2)) / (2 + 2 / LOG(2, 2) + 2 / LOG(3, 2) + 2 / LOG(4, 2) + 2 / LOG(5, 2))</f>
        <v>0.5</v>
      </c>
    </row>
    <row r="8" spans="1:13" ht="31" x14ac:dyDescent="0.35">
      <c r="A8" s="4" t="s">
        <v>179</v>
      </c>
      <c r="B8" t="s">
        <v>44</v>
      </c>
      <c r="C8">
        <v>2</v>
      </c>
      <c r="D8" t="s">
        <v>45</v>
      </c>
      <c r="E8">
        <v>2</v>
      </c>
      <c r="F8">
        <v>49</v>
      </c>
      <c r="G8">
        <v>2</v>
      </c>
      <c r="H8" t="s">
        <v>41</v>
      </c>
      <c r="I8">
        <v>1</v>
      </c>
      <c r="J8" t="s">
        <v>46</v>
      </c>
      <c r="K8">
        <v>0</v>
      </c>
      <c r="L8">
        <f t="shared" si="1"/>
        <v>0.80888495287986018</v>
      </c>
    </row>
    <row r="9" spans="1:13" ht="16" customHeight="1" x14ac:dyDescent="0.35">
      <c r="A9" s="4" t="s">
        <v>180</v>
      </c>
      <c r="B9" t="s">
        <v>47</v>
      </c>
      <c r="C9">
        <v>2</v>
      </c>
      <c r="D9" t="s">
        <v>48</v>
      </c>
      <c r="E9">
        <v>2</v>
      </c>
      <c r="F9" t="s">
        <v>49</v>
      </c>
      <c r="G9">
        <v>2</v>
      </c>
      <c r="H9" t="s">
        <v>50</v>
      </c>
      <c r="I9">
        <v>2</v>
      </c>
      <c r="J9" t="s">
        <v>51</v>
      </c>
      <c r="K9">
        <v>2</v>
      </c>
      <c r="L9">
        <f xml:space="preserve"> (C9 + E9 / LOG(2, 2) + G9 / LOG(3, 2) + I9 / LOG(4, 2) + K9 / LOG(5, 2)) / (2 + 2 / LOG(2, 2) + 2 / LOG(3, 2) + 2 / LOG(4, 2) + 2 / LOG(5, 2))</f>
        <v>1</v>
      </c>
    </row>
    <row r="10" spans="1:13" ht="15.5" x14ac:dyDescent="0.35">
      <c r="A10" s="4" t="s">
        <v>181</v>
      </c>
      <c r="B10" t="s">
        <v>52</v>
      </c>
      <c r="C10">
        <v>1</v>
      </c>
      <c r="D10" t="s">
        <v>53</v>
      </c>
      <c r="E10">
        <v>0</v>
      </c>
      <c r="F10" t="s">
        <v>54</v>
      </c>
      <c r="G10">
        <v>2</v>
      </c>
      <c r="H10" t="s">
        <v>55</v>
      </c>
      <c r="I10">
        <v>2</v>
      </c>
      <c r="J10" t="s">
        <v>56</v>
      </c>
      <c r="K10">
        <v>2</v>
      </c>
      <c r="L10">
        <f xml:space="preserve"> (C10 + E10 / LOG(2, 2) + G10 / LOG(3, 2) + I10 / LOG(4, 2) + K10 / LOG(5, 2)) / (2 + 2 / LOG(2, 2) + 2 / LOG(3, 2) + 2 / LOG(4, 2) + 2 / LOG(5, 2))</f>
        <v>0.57884171670078333</v>
      </c>
    </row>
    <row r="11" spans="1:13" ht="58" x14ac:dyDescent="0.35">
      <c r="A11" s="4" t="s">
        <v>98</v>
      </c>
      <c r="B11" s="1" t="s">
        <v>97</v>
      </c>
      <c r="C11">
        <v>0</v>
      </c>
      <c r="D11" s="1" t="s">
        <v>96</v>
      </c>
      <c r="E11">
        <v>2</v>
      </c>
      <c r="F11" s="1" t="s">
        <v>95</v>
      </c>
      <c r="G11">
        <v>1</v>
      </c>
      <c r="H11" s="1" t="s">
        <v>94</v>
      </c>
      <c r="I11">
        <v>2</v>
      </c>
      <c r="J11" s="1" t="s">
        <v>93</v>
      </c>
      <c r="K11">
        <v>2</v>
      </c>
      <c r="L11">
        <f t="shared" ref="L11:L21" si="2" xml:space="preserve"> (C11 + E11 / LOG(2, 2) + G11 / LOG(3, 2) + I11 / LOG(4, 2) + K11 / LOG(5, 2)) / (2 + 2 / LOG(2, 2) + 2 / LOG(3, 2) + 2 / LOG(4, 2) + 2 / LOG(5, 2))</f>
        <v>0.63065404716833806</v>
      </c>
    </row>
    <row r="12" spans="1:13" ht="43.5" x14ac:dyDescent="0.35">
      <c r="A12" s="4" t="s">
        <v>103</v>
      </c>
      <c r="B12" s="1" t="s">
        <v>102</v>
      </c>
      <c r="C12">
        <v>0</v>
      </c>
      <c r="D12" s="1" t="s">
        <v>97</v>
      </c>
      <c r="E12">
        <v>2</v>
      </c>
      <c r="F12" s="1" t="s">
        <v>101</v>
      </c>
      <c r="G12">
        <v>1</v>
      </c>
      <c r="H12" s="1" t="s">
        <v>100</v>
      </c>
      <c r="I12">
        <v>1</v>
      </c>
      <c r="J12" s="1" t="s">
        <v>99</v>
      </c>
      <c r="K12">
        <v>1</v>
      </c>
      <c r="L12">
        <f t="shared" si="2"/>
        <v>0.5</v>
      </c>
    </row>
    <row r="13" spans="1:13" ht="15.5" x14ac:dyDescent="0.35">
      <c r="A13" s="4" t="s">
        <v>109</v>
      </c>
      <c r="B13" t="s">
        <v>108</v>
      </c>
      <c r="C13">
        <v>2</v>
      </c>
      <c r="D13" s="3" t="s">
        <v>107</v>
      </c>
      <c r="E13">
        <v>2</v>
      </c>
      <c r="F13" s="2" t="s">
        <v>106</v>
      </c>
      <c r="G13">
        <v>1</v>
      </c>
      <c r="H13" s="2" t="s">
        <v>105</v>
      </c>
      <c r="I13">
        <v>0</v>
      </c>
      <c r="J13" t="s">
        <v>104</v>
      </c>
      <c r="K13">
        <v>1</v>
      </c>
      <c r="L13">
        <f t="shared" si="2"/>
        <v>0.71057914164960845</v>
      </c>
    </row>
    <row r="14" spans="1:13" ht="31" x14ac:dyDescent="0.35">
      <c r="A14" s="4" t="s">
        <v>115</v>
      </c>
      <c r="B14" t="s">
        <v>114</v>
      </c>
      <c r="C14">
        <v>2</v>
      </c>
      <c r="D14" s="2" t="s">
        <v>113</v>
      </c>
      <c r="E14">
        <v>2</v>
      </c>
      <c r="F14" t="s">
        <v>112</v>
      </c>
      <c r="G14">
        <v>0</v>
      </c>
      <c r="H14" s="2" t="s">
        <v>111</v>
      </c>
      <c r="I14">
        <v>2</v>
      </c>
      <c r="J14" t="s">
        <v>110</v>
      </c>
      <c r="K14">
        <v>1</v>
      </c>
      <c r="L14">
        <f t="shared" si="2"/>
        <v>0.76239147211716296</v>
      </c>
    </row>
    <row r="15" spans="1:13" ht="31" x14ac:dyDescent="0.35">
      <c r="A15" s="4" t="s">
        <v>121</v>
      </c>
      <c r="B15" t="s">
        <v>120</v>
      </c>
      <c r="C15">
        <v>2</v>
      </c>
      <c r="D15" t="s">
        <v>119</v>
      </c>
      <c r="E15">
        <v>2</v>
      </c>
      <c r="F15" t="s">
        <v>118</v>
      </c>
      <c r="G15">
        <v>2</v>
      </c>
      <c r="H15" s="2" t="s">
        <v>117</v>
      </c>
      <c r="I15">
        <v>2</v>
      </c>
      <c r="J15" s="2" t="s">
        <v>116</v>
      </c>
      <c r="K15">
        <v>2</v>
      </c>
      <c r="L15">
        <f t="shared" si="2"/>
        <v>1</v>
      </c>
    </row>
    <row r="16" spans="1:13" ht="15.5" x14ac:dyDescent="0.35">
      <c r="A16" s="4" t="s">
        <v>127</v>
      </c>
      <c r="B16" t="s">
        <v>126</v>
      </c>
      <c r="C16">
        <v>2</v>
      </c>
      <c r="D16" t="s">
        <v>125</v>
      </c>
      <c r="E16">
        <v>1</v>
      </c>
      <c r="F16" t="s">
        <v>124</v>
      </c>
      <c r="G16">
        <v>1</v>
      </c>
      <c r="H16" t="s">
        <v>123</v>
      </c>
      <c r="I16">
        <v>2</v>
      </c>
      <c r="J16" t="s">
        <v>122</v>
      </c>
      <c r="K16">
        <v>2</v>
      </c>
      <c r="L16">
        <f t="shared" si="2"/>
        <v>0.77104014160141021</v>
      </c>
    </row>
    <row r="17" spans="1:12" ht="29" x14ac:dyDescent="0.35">
      <c r="A17" s="4" t="s">
        <v>128</v>
      </c>
      <c r="B17" t="s">
        <v>102</v>
      </c>
      <c r="C17">
        <v>0</v>
      </c>
      <c r="D17" t="s">
        <v>97</v>
      </c>
      <c r="E17">
        <v>0</v>
      </c>
      <c r="F17" t="s">
        <v>101</v>
      </c>
      <c r="G17">
        <v>1</v>
      </c>
      <c r="H17" t="s">
        <v>100</v>
      </c>
      <c r="I17">
        <v>2</v>
      </c>
      <c r="J17" s="1" t="s">
        <v>99</v>
      </c>
      <c r="K17">
        <v>0</v>
      </c>
      <c r="L17">
        <f t="shared" si="2"/>
        <v>0.22895985839858982</v>
      </c>
    </row>
    <row r="18" spans="1:12" ht="31" x14ac:dyDescent="0.35">
      <c r="A18" s="4" t="s">
        <v>134</v>
      </c>
      <c r="B18" t="s">
        <v>133</v>
      </c>
      <c r="C18">
        <v>2</v>
      </c>
      <c r="D18" t="s">
        <v>132</v>
      </c>
      <c r="E18">
        <v>1</v>
      </c>
      <c r="F18" t="s">
        <v>131</v>
      </c>
      <c r="G18">
        <v>0</v>
      </c>
      <c r="H18" t="s">
        <v>130</v>
      </c>
      <c r="I18">
        <v>0</v>
      </c>
      <c r="J18" t="s">
        <v>129</v>
      </c>
      <c r="K18">
        <v>1</v>
      </c>
      <c r="L18">
        <f t="shared" si="2"/>
        <v>0.48161928325101849</v>
      </c>
    </row>
    <row r="19" spans="1:12" ht="31" x14ac:dyDescent="0.35">
      <c r="A19" s="4" t="s">
        <v>140</v>
      </c>
      <c r="B19" t="s">
        <v>139</v>
      </c>
      <c r="C19">
        <v>2</v>
      </c>
      <c r="D19" t="s">
        <v>138</v>
      </c>
      <c r="E19">
        <v>2</v>
      </c>
      <c r="F19" s="2" t="s">
        <v>137</v>
      </c>
      <c r="G19">
        <v>1</v>
      </c>
      <c r="H19" t="s">
        <v>136</v>
      </c>
      <c r="I19">
        <v>2</v>
      </c>
      <c r="J19" t="s">
        <v>135</v>
      </c>
      <c r="K19">
        <v>2</v>
      </c>
      <c r="L19">
        <f t="shared" si="2"/>
        <v>0.91142623603448247</v>
      </c>
    </row>
    <row r="20" spans="1:12" ht="15.5" x14ac:dyDescent="0.35">
      <c r="A20" s="4" t="s">
        <v>146</v>
      </c>
      <c r="B20" s="2" t="s">
        <v>145</v>
      </c>
      <c r="C20">
        <v>0</v>
      </c>
      <c r="D20" t="s">
        <v>144</v>
      </c>
      <c r="E20">
        <v>1</v>
      </c>
      <c r="F20" t="s">
        <v>143</v>
      </c>
      <c r="G20">
        <v>2</v>
      </c>
      <c r="H20" t="s">
        <v>142</v>
      </c>
      <c r="I20">
        <v>2</v>
      </c>
      <c r="J20" t="s">
        <v>141</v>
      </c>
      <c r="K20">
        <v>1</v>
      </c>
      <c r="L20">
        <f t="shared" si="2"/>
        <v>0.51838071674898145</v>
      </c>
    </row>
    <row r="21" spans="1:12" ht="31" x14ac:dyDescent="0.35">
      <c r="A21" s="4" t="s">
        <v>182</v>
      </c>
      <c r="B21" t="s">
        <v>126</v>
      </c>
      <c r="C21">
        <v>2</v>
      </c>
      <c r="D21" t="s">
        <v>150</v>
      </c>
      <c r="E21">
        <v>2</v>
      </c>
      <c r="F21" t="s">
        <v>149</v>
      </c>
      <c r="G21">
        <v>2</v>
      </c>
      <c r="H21" t="s">
        <v>148</v>
      </c>
      <c r="I21">
        <v>2</v>
      </c>
      <c r="J21" t="s">
        <v>147</v>
      </c>
      <c r="K21">
        <v>0</v>
      </c>
      <c r="L21">
        <f t="shared" si="2"/>
        <v>0.87907800009639625</v>
      </c>
    </row>
    <row r="22" spans="1:12" ht="15.5" x14ac:dyDescent="0.35">
      <c r="A22" s="4" t="s">
        <v>183</v>
      </c>
      <c r="B22" t="s">
        <v>57</v>
      </c>
      <c r="C22">
        <v>2</v>
      </c>
      <c r="D22" t="s">
        <v>58</v>
      </c>
      <c r="E22">
        <v>1</v>
      </c>
      <c r="F22" t="s">
        <v>59</v>
      </c>
      <c r="G22">
        <v>2</v>
      </c>
      <c r="H22" t="s">
        <v>60</v>
      </c>
      <c r="I22">
        <v>2</v>
      </c>
      <c r="J22" t="s">
        <v>61</v>
      </c>
      <c r="K22">
        <v>2</v>
      </c>
      <c r="L22">
        <f t="shared" ref="L22:L25" si="3" xml:space="preserve"> (C22 + E22 / LOG(2, 2) + G22 / LOG(3, 2) + I22 / LOG(4, 2) + K22 / LOG(5, 2)) / (2 + 2 / LOG(2, 2) + 2 / LOG(3, 2) + 2 / LOG(4, 2) + 2 / LOG(5, 2))</f>
        <v>0.85961390556692774</v>
      </c>
    </row>
    <row r="23" spans="1:12" ht="15.5" x14ac:dyDescent="0.35">
      <c r="A23" s="4" t="s">
        <v>184</v>
      </c>
      <c r="B23" t="s">
        <v>62</v>
      </c>
      <c r="C23">
        <v>2</v>
      </c>
      <c r="D23" t="s">
        <v>63</v>
      </c>
      <c r="E23">
        <v>2</v>
      </c>
      <c r="F23" t="s">
        <v>64</v>
      </c>
      <c r="G23">
        <v>1</v>
      </c>
      <c r="H23" t="s">
        <v>65</v>
      </c>
      <c r="I23">
        <v>1</v>
      </c>
      <c r="J23" t="s">
        <v>66</v>
      </c>
      <c r="K23">
        <v>1</v>
      </c>
      <c r="L23">
        <f t="shared" si="3"/>
        <v>0.78077218886614452</v>
      </c>
    </row>
    <row r="24" spans="1:12" ht="31" x14ac:dyDescent="0.35">
      <c r="A24" s="4" t="s">
        <v>185</v>
      </c>
      <c r="B24" t="s">
        <v>67</v>
      </c>
      <c r="C24">
        <v>2</v>
      </c>
      <c r="D24" t="s">
        <v>68</v>
      </c>
      <c r="E24">
        <v>2</v>
      </c>
      <c r="F24" t="s">
        <v>69</v>
      </c>
      <c r="G24">
        <v>2</v>
      </c>
      <c r="H24" t="s">
        <v>70</v>
      </c>
      <c r="I24">
        <v>1</v>
      </c>
      <c r="J24" t="s">
        <v>71</v>
      </c>
      <c r="K24">
        <v>1</v>
      </c>
      <c r="L24">
        <f t="shared" si="3"/>
        <v>0.86934595283166205</v>
      </c>
    </row>
    <row r="25" spans="1:12" ht="31" x14ac:dyDescent="0.35">
      <c r="A25" s="4" t="s">
        <v>186</v>
      </c>
      <c r="B25" t="s">
        <v>72</v>
      </c>
      <c r="C25">
        <v>2</v>
      </c>
      <c r="D25" t="s">
        <v>73</v>
      </c>
      <c r="E25">
        <v>2</v>
      </c>
      <c r="F25" t="s">
        <v>74</v>
      </c>
      <c r="G25">
        <v>1</v>
      </c>
      <c r="H25" t="s">
        <v>50</v>
      </c>
      <c r="I25">
        <v>2</v>
      </c>
      <c r="J25" t="s">
        <v>75</v>
      </c>
      <c r="K25">
        <v>2</v>
      </c>
      <c r="L25">
        <f t="shared" si="3"/>
        <v>0.91142623603448247</v>
      </c>
    </row>
    <row r="26" spans="1:12" ht="15.5" x14ac:dyDescent="0.35">
      <c r="A26" s="4" t="s">
        <v>187</v>
      </c>
      <c r="B26" t="s">
        <v>76</v>
      </c>
      <c r="C26">
        <v>1</v>
      </c>
      <c r="D26" t="s">
        <v>77</v>
      </c>
      <c r="E26">
        <v>2</v>
      </c>
      <c r="F26" t="s">
        <v>78</v>
      </c>
      <c r="G26">
        <v>1</v>
      </c>
      <c r="H26" t="s">
        <v>79</v>
      </c>
      <c r="I26">
        <v>2</v>
      </c>
      <c r="J26" t="s">
        <v>80</v>
      </c>
      <c r="K26">
        <v>1</v>
      </c>
      <c r="L26">
        <f xml:space="preserve"> (C26 + E26 / LOG(2, 2) + G26 / LOG(3, 2) + I26 / LOG(4, 2) + K26 / LOG(5, 2)) / (2 + 2 / LOG(2, 2) + 2 / LOG(3, 2) + 2 / LOG(4, 2) + 2 / LOG(5, 2))</f>
        <v>0.71057914164960845</v>
      </c>
    </row>
    <row r="27" spans="1:12" ht="31" x14ac:dyDescent="0.35">
      <c r="A27" s="4" t="s">
        <v>188</v>
      </c>
      <c r="B27" t="s">
        <v>81</v>
      </c>
      <c r="C27">
        <v>2</v>
      </c>
      <c r="D27" t="s">
        <v>82</v>
      </c>
      <c r="E27">
        <v>1</v>
      </c>
      <c r="F27" t="s">
        <v>83</v>
      </c>
      <c r="G27">
        <v>0</v>
      </c>
      <c r="H27" t="s">
        <v>84</v>
      </c>
      <c r="I27">
        <v>0</v>
      </c>
      <c r="J27" t="s">
        <v>85</v>
      </c>
      <c r="K27">
        <v>2</v>
      </c>
      <c r="L27">
        <f xml:space="preserve"> (C27 + E27 / LOG(2, 2) + G27 / LOG(3, 2) + I27 / LOG(4, 2) + K27 / LOG(5, 2)) / (2 + 2 / LOG(2, 2) + 2 / LOG(3, 2) + 2 / LOG(4, 2) + 2 / LOG(5, 2))</f>
        <v>0.54208028320282042</v>
      </c>
    </row>
    <row r="28" spans="1:12" ht="46.5" x14ac:dyDescent="0.35">
      <c r="A28" s="4" t="s">
        <v>189</v>
      </c>
      <c r="B28" t="s">
        <v>86</v>
      </c>
      <c r="C28">
        <v>1</v>
      </c>
      <c r="D28" t="s">
        <v>87</v>
      </c>
      <c r="E28">
        <v>2</v>
      </c>
      <c r="F28" t="s">
        <v>11</v>
      </c>
      <c r="G28">
        <v>1</v>
      </c>
      <c r="H28" t="s">
        <v>88</v>
      </c>
      <c r="I28">
        <v>1</v>
      </c>
      <c r="J28" t="s">
        <v>44</v>
      </c>
      <c r="K28">
        <v>2</v>
      </c>
      <c r="L28">
        <f t="shared" ref="L28:L29" si="4" xml:space="preserve"> (C28 + E28 / LOG(2, 2) + G28 / LOG(3, 2) + I28 / LOG(4, 2) + K28 / LOG(5, 2)) / (2 + 2 / LOG(2, 2) + 2 / LOG(3, 2) + 2 / LOG(4, 2) + 2 / LOG(5, 2))</f>
        <v>0.70084709438487414</v>
      </c>
    </row>
    <row r="29" spans="1:12" ht="31" x14ac:dyDescent="0.35">
      <c r="A29" s="4" t="s">
        <v>190</v>
      </c>
      <c r="B29" t="s">
        <v>11</v>
      </c>
      <c r="C29">
        <v>2</v>
      </c>
      <c r="D29" t="s">
        <v>89</v>
      </c>
      <c r="E29">
        <v>1</v>
      </c>
      <c r="F29" t="s">
        <v>90</v>
      </c>
      <c r="G29">
        <v>0</v>
      </c>
      <c r="H29" t="s">
        <v>91</v>
      </c>
      <c r="I29">
        <v>0</v>
      </c>
      <c r="J29" t="s">
        <v>92</v>
      </c>
      <c r="K29">
        <v>1</v>
      </c>
      <c r="L29">
        <f t="shared" si="4"/>
        <v>0.48161928325101849</v>
      </c>
    </row>
    <row r="30" spans="1:12" ht="31" x14ac:dyDescent="0.35">
      <c r="A30" s="4" t="s">
        <v>191</v>
      </c>
      <c r="B30" t="s">
        <v>151</v>
      </c>
      <c r="C30">
        <v>2</v>
      </c>
      <c r="D30" t="s">
        <v>152</v>
      </c>
      <c r="E30">
        <v>2</v>
      </c>
      <c r="F30" t="s">
        <v>153</v>
      </c>
      <c r="G30">
        <v>2</v>
      </c>
      <c r="H30" t="s">
        <v>154</v>
      </c>
      <c r="I30">
        <v>0</v>
      </c>
      <c r="J30" t="s">
        <v>155</v>
      </c>
      <c r="K30">
        <v>0</v>
      </c>
      <c r="L30">
        <f xml:space="preserve"> (C30 + E30 / LOG(2, 2) + G30 / LOG(3, 2) + I30 / LOG(4, 2) + K30 / LOG(5, 2)) / (2 + 2 / LOG(2, 2) + 2 / LOG(3, 2) + 2 / LOG(4, 2) + 2 / LOG(5, 2))</f>
        <v>0.7386919056633241</v>
      </c>
    </row>
    <row r="31" spans="1:12" ht="31" x14ac:dyDescent="0.35">
      <c r="A31" s="4" t="s">
        <v>192</v>
      </c>
      <c r="B31" t="s">
        <v>156</v>
      </c>
      <c r="C31">
        <v>1</v>
      </c>
      <c r="D31" t="s">
        <v>157</v>
      </c>
      <c r="E31">
        <v>2</v>
      </c>
      <c r="F31" t="s">
        <v>35</v>
      </c>
      <c r="G31">
        <v>2</v>
      </c>
      <c r="H31" t="s">
        <v>13</v>
      </c>
      <c r="I31">
        <v>1</v>
      </c>
      <c r="J31" t="s">
        <v>158</v>
      </c>
      <c r="K31">
        <v>1</v>
      </c>
      <c r="L31">
        <f xml:space="preserve"> (C31 + E31 / LOG(2, 2) + G31 / LOG(3, 2) + I31 / LOG(4, 2) + K31 / LOG(5, 2)) / (2 + 2 / LOG(2, 2) + 2 / LOG(3, 2) + 2 / LOG(4, 2) + 2 / LOG(5, 2))</f>
        <v>0.72895985839858979</v>
      </c>
    </row>
    <row r="32" spans="1:12" ht="31" x14ac:dyDescent="0.35">
      <c r="A32" s="4" t="s">
        <v>193</v>
      </c>
      <c r="B32" t="s">
        <v>92</v>
      </c>
      <c r="C32">
        <v>1</v>
      </c>
      <c r="D32" t="s">
        <v>159</v>
      </c>
      <c r="E32">
        <v>1</v>
      </c>
      <c r="F32" t="s">
        <v>160</v>
      </c>
      <c r="G32">
        <v>0</v>
      </c>
      <c r="H32" t="s">
        <v>161</v>
      </c>
      <c r="I32">
        <v>1</v>
      </c>
      <c r="J32" t="s">
        <v>162</v>
      </c>
      <c r="K32">
        <v>0</v>
      </c>
      <c r="L32">
        <f t="shared" ref="L32:L34" si="5" xml:space="preserve"> (C32 + E32 / LOG(2, 2) + G32 / LOG(3, 2) + I32 / LOG(4, 2) + K32 / LOG(5, 2)) / (2 + 2 / LOG(2, 2) + 2 / LOG(3, 2) + 2 / LOG(4, 2) + 2 / LOG(5, 2))</f>
        <v>0.35096523608268054</v>
      </c>
    </row>
    <row r="33" spans="1:12" ht="31" x14ac:dyDescent="0.35">
      <c r="A33" s="4" t="s">
        <v>194</v>
      </c>
      <c r="B33" t="s">
        <v>163</v>
      </c>
      <c r="C33">
        <v>2</v>
      </c>
      <c r="D33" t="s">
        <v>164</v>
      </c>
      <c r="E33">
        <v>1</v>
      </c>
      <c r="F33" t="s">
        <v>165</v>
      </c>
      <c r="G33">
        <v>1</v>
      </c>
      <c r="H33" t="s">
        <v>166</v>
      </c>
      <c r="I33">
        <v>1</v>
      </c>
      <c r="J33" t="s">
        <v>167</v>
      </c>
      <c r="K33">
        <v>1</v>
      </c>
      <c r="L33">
        <f t="shared" si="5"/>
        <v>0.64038609443307226</v>
      </c>
    </row>
    <row r="34" spans="1:12" ht="15.5" x14ac:dyDescent="0.35">
      <c r="A34" s="4" t="s">
        <v>195</v>
      </c>
      <c r="B34" t="s">
        <v>10</v>
      </c>
      <c r="C34">
        <v>2</v>
      </c>
      <c r="D34" t="s">
        <v>11</v>
      </c>
      <c r="E34">
        <v>2</v>
      </c>
      <c r="F34" t="s">
        <v>12</v>
      </c>
      <c r="G34">
        <v>1</v>
      </c>
      <c r="H34" t="s">
        <v>13</v>
      </c>
      <c r="I34">
        <v>1</v>
      </c>
      <c r="J34" t="s">
        <v>159</v>
      </c>
      <c r="K34">
        <v>2</v>
      </c>
      <c r="L34">
        <f t="shared" si="5"/>
        <v>0.8412331888179464</v>
      </c>
    </row>
    <row r="35" spans="1:12" ht="15.5" x14ac:dyDescent="0.35">
      <c r="A35" s="4" t="s">
        <v>196</v>
      </c>
      <c r="B35" t="s">
        <v>168</v>
      </c>
      <c r="C35">
        <v>2</v>
      </c>
      <c r="D35" t="s">
        <v>169</v>
      </c>
      <c r="E35">
        <v>2</v>
      </c>
      <c r="F35" t="s">
        <v>170</v>
      </c>
      <c r="G35">
        <v>1</v>
      </c>
      <c r="H35" t="s">
        <v>171</v>
      </c>
      <c r="I35">
        <v>2</v>
      </c>
      <c r="J35" t="s">
        <v>172</v>
      </c>
      <c r="K35">
        <v>1</v>
      </c>
      <c r="L35">
        <f xml:space="preserve"> (C35 + E35 / LOG(2, 2) + G35 / LOG(3, 2) + I35 / LOG(4, 2) + K35 / LOG(5, 2)) / (2 + 2 / LOG(2, 2) + 2 / LOG(3, 2) + 2 / LOG(4, 2) + 2 / LOG(5, 2))</f>
        <v>0.8509652360826806</v>
      </c>
    </row>
  </sheetData>
  <hyperlinks>
    <hyperlink ref="L1" r:id="rId1" xr:uid="{70892540-820A-4FBE-8E6F-5411B89F1E4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 Scores by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Yuval Margolin</cp:lastModifiedBy>
  <dcterms:created xsi:type="dcterms:W3CDTF">2025-11-08T10:07:27Z</dcterms:created>
  <dcterms:modified xsi:type="dcterms:W3CDTF">2025-11-08T15:39:54Z</dcterms:modified>
</cp:coreProperties>
</file>